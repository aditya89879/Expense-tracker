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Transactions" sheetId="1" r:id="rId1"/>
    <sheet name="Lookup_Demo" sheetId="2" r:id="rId2"/>
    <sheet name="Summary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3" authorId="0">
      <text>
        <r>
          <rPr>
            <sz val="8"/>
            <rFont val="Tahoma"/>
            <charset val="134"/>
          </rPr>
          <t>VLOOKUP searches for Reference ID in column G and returns the corresponding Description from column E.</t>
        </r>
      </text>
    </comment>
    <comment ref="B7" authorId="0">
      <text>
        <r>
          <rPr>
            <sz val="8"/>
            <rFont val="Tahoma"/>
            <charset val="134"/>
          </rPr>
          <t>HLOOKUP searches the top row for month # and returns the name below.</t>
        </r>
      </text>
    </comment>
    <comment ref="B11" authorId="0">
      <text>
        <r>
          <rPr>
            <sz val="8"/>
            <rFont val="Tahoma"/>
            <charset val="134"/>
          </rPr>
          <t>XLOOKUP directly maps the Reference ID to its Category.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B3" authorId="0">
      <text>
        <r>
          <rPr>
            <sz val="8"/>
            <rFont val="Tahoma"/>
            <charset val="134"/>
          </rPr>
          <t>Adds all Amounts where Category = "Food".</t>
        </r>
      </text>
    </comment>
    <comment ref="B5" authorId="0">
      <text>
        <r>
          <rPr>
            <sz val="8"/>
            <rFont val="Tahoma"/>
            <charset val="134"/>
          </rPr>
          <t>Counts rows where Category = "Transport".</t>
        </r>
      </text>
    </comment>
    <comment ref="B7" authorId="0">
      <text>
        <r>
          <rPr>
            <sz val="8"/>
            <rFont val="Tahoma"/>
            <charset val="134"/>
          </rPr>
          <t>Adds Amounts where Category="Food" AND Payment Method="Card".</t>
        </r>
      </text>
    </comment>
    <comment ref="B9" authorId="0">
      <text>
        <r>
          <rPr>
            <sz val="8"/>
            <rFont val="Tahoma"/>
            <charset val="134"/>
          </rPr>
          <t>Counts Entertainment transactions with dates between 1-Jun-2025 and 30-Jun-2025.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rFont val="Tahoma"/>
            <charset val="134"/>
          </rPr>
          <t>Pivot tables &amp; slicers are not supported in XlsxWriter; tables below are pre-aggregated in Python.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<sst xmlns="http://schemas.openxmlformats.org/spreadsheetml/2006/main" count="667" uniqueCount="212">
  <si>
    <t>Date</t>
  </si>
  <si>
    <t>Category</t>
  </si>
  <si>
    <t>Subcategory</t>
  </si>
  <si>
    <t>Payment Method</t>
  </si>
  <si>
    <t>Description</t>
  </si>
  <si>
    <t>Amount</t>
  </si>
  <si>
    <t>Reference ID</t>
  </si>
  <si>
    <t>Rent</t>
  </si>
  <si>
    <t>Housing</t>
  </si>
  <si>
    <t>Card</t>
  </si>
  <si>
    <t>Monthly Rent</t>
  </si>
  <si>
    <t>EXP001</t>
  </si>
  <si>
    <t>Cash</t>
  </si>
  <si>
    <t>EXP002</t>
  </si>
  <si>
    <t>Entertainment</t>
  </si>
  <si>
    <t>Spotify</t>
  </si>
  <si>
    <t>Spotify Subscription</t>
  </si>
  <si>
    <t>EXP003</t>
  </si>
  <si>
    <t>Education</t>
  </si>
  <si>
    <t>Tuition</t>
  </si>
  <si>
    <t>Online</t>
  </si>
  <si>
    <t>College Tuition</t>
  </si>
  <si>
    <t>EXP004</t>
  </si>
  <si>
    <t>Food</t>
  </si>
  <si>
    <t>Groceries</t>
  </si>
  <si>
    <t>Supermarket Groceries</t>
  </si>
  <si>
    <t>EXP005</t>
  </si>
  <si>
    <t>Cinema</t>
  </si>
  <si>
    <t>Bank Transfer</t>
  </si>
  <si>
    <t>Movie Night</t>
  </si>
  <si>
    <t>EXP006</t>
  </si>
  <si>
    <t>Healthcare</t>
  </si>
  <si>
    <t>Doctor</t>
  </si>
  <si>
    <t>Doctor Visit</t>
  </si>
  <si>
    <t>EXP007</t>
  </si>
  <si>
    <t>EXP008</t>
  </si>
  <si>
    <t>EXP009</t>
  </si>
  <si>
    <t>EXP010</t>
  </si>
  <si>
    <t>Books</t>
  </si>
  <si>
    <t>Textbooks</t>
  </si>
  <si>
    <t>EXP011</t>
  </si>
  <si>
    <t>Insurance</t>
  </si>
  <si>
    <t>Health Insurance</t>
  </si>
  <si>
    <t>EXP012</t>
  </si>
  <si>
    <t>Transport</t>
  </si>
  <si>
    <t>Public Transit</t>
  </si>
  <si>
    <t>Metro Ticket</t>
  </si>
  <si>
    <t>EXP013</t>
  </si>
  <si>
    <t>Utilities</t>
  </si>
  <si>
    <t>Internet</t>
  </si>
  <si>
    <t>Internet Service</t>
  </si>
  <si>
    <t>EXP014</t>
  </si>
  <si>
    <t>EXP015</t>
  </si>
  <si>
    <t>EXP016</t>
  </si>
  <si>
    <t>Income</t>
  </si>
  <si>
    <t>Investment</t>
  </si>
  <si>
    <t>Investment Return</t>
  </si>
  <si>
    <t>EXP017</t>
  </si>
  <si>
    <t>EXP018</t>
  </si>
  <si>
    <t>EXP019</t>
  </si>
  <si>
    <t>EXP020</t>
  </si>
  <si>
    <t>Courses</t>
  </si>
  <si>
    <t>Online Course</t>
  </si>
  <si>
    <t>EXP021</t>
  </si>
  <si>
    <t>Bonus</t>
  </si>
  <si>
    <t>Performance Bonus</t>
  </si>
  <si>
    <t>EXP022</t>
  </si>
  <si>
    <t>EXP023</t>
  </si>
  <si>
    <t>Uber</t>
  </si>
  <si>
    <t>Uber Ride</t>
  </si>
  <si>
    <t>EXP024</t>
  </si>
  <si>
    <t>EXP025</t>
  </si>
  <si>
    <t>EXP026</t>
  </si>
  <si>
    <t>Dining</t>
  </si>
  <si>
    <t>Restaurant Meal</t>
  </si>
  <si>
    <t>EXP027</t>
  </si>
  <si>
    <t>Electricity</t>
  </si>
  <si>
    <t>Electricity Bill</t>
  </si>
  <si>
    <t>EXP028</t>
  </si>
  <si>
    <t>Salary</t>
  </si>
  <si>
    <t>Monthly Salary</t>
  </si>
  <si>
    <t>EXP029</t>
  </si>
  <si>
    <t>Freelance</t>
  </si>
  <si>
    <t>Freelance Project</t>
  </si>
  <si>
    <t>EXP030</t>
  </si>
  <si>
    <t>EXP031</t>
  </si>
  <si>
    <t>EXP032</t>
  </si>
  <si>
    <t>EXP033</t>
  </si>
  <si>
    <t>EXP034</t>
  </si>
  <si>
    <t>EXP035</t>
  </si>
  <si>
    <t>EXP036</t>
  </si>
  <si>
    <t>Pharmacy</t>
  </si>
  <si>
    <t>Pharmacy Purchase</t>
  </si>
  <si>
    <t>EXP037</t>
  </si>
  <si>
    <t>EXP038</t>
  </si>
  <si>
    <t>EXP039</t>
  </si>
  <si>
    <t>EXP040</t>
  </si>
  <si>
    <t>EXP041</t>
  </si>
  <si>
    <t>EXP042</t>
  </si>
  <si>
    <t>EXP043</t>
  </si>
  <si>
    <t>Water</t>
  </si>
  <si>
    <t>Water Bill</t>
  </si>
  <si>
    <t>EXP044</t>
  </si>
  <si>
    <t>EXP045</t>
  </si>
  <si>
    <t>EXP046</t>
  </si>
  <si>
    <t>EXP047</t>
  </si>
  <si>
    <t>Games</t>
  </si>
  <si>
    <t>Steam Games</t>
  </si>
  <si>
    <t>EXP048</t>
  </si>
  <si>
    <t>EXP049</t>
  </si>
  <si>
    <t>EXP050</t>
  </si>
  <si>
    <t>EXP051</t>
  </si>
  <si>
    <t>EXP052</t>
  </si>
  <si>
    <t>EXP053</t>
  </si>
  <si>
    <t>EXP054</t>
  </si>
  <si>
    <t>EXP055</t>
  </si>
  <si>
    <t>EXP056</t>
  </si>
  <si>
    <t>EXP057</t>
  </si>
  <si>
    <t>EXP058</t>
  </si>
  <si>
    <t>EXP059</t>
  </si>
  <si>
    <t>EXP060</t>
  </si>
  <si>
    <t>EXP061</t>
  </si>
  <si>
    <t>EXP062</t>
  </si>
  <si>
    <t>EXP063</t>
  </si>
  <si>
    <t>EXP064</t>
  </si>
  <si>
    <t>EXP065</t>
  </si>
  <si>
    <t>EXP066</t>
  </si>
  <si>
    <t>EXP067</t>
  </si>
  <si>
    <t>EXP068</t>
  </si>
  <si>
    <t>EXP069</t>
  </si>
  <si>
    <t>EXP070</t>
  </si>
  <si>
    <t>EXP071</t>
  </si>
  <si>
    <t>EXP072</t>
  </si>
  <si>
    <t>EXP073</t>
  </si>
  <si>
    <t>EXP074</t>
  </si>
  <si>
    <t>EXP075</t>
  </si>
  <si>
    <t>EXP076</t>
  </si>
  <si>
    <t>EXP077</t>
  </si>
  <si>
    <t>EXP078</t>
  </si>
  <si>
    <t>EXP079</t>
  </si>
  <si>
    <t>EXP080</t>
  </si>
  <si>
    <t>EXP081</t>
  </si>
  <si>
    <t>EXP082</t>
  </si>
  <si>
    <t>EXP083</t>
  </si>
  <si>
    <t>EXP084</t>
  </si>
  <si>
    <t>EXP085</t>
  </si>
  <si>
    <t>EXP086</t>
  </si>
  <si>
    <t>EXP087</t>
  </si>
  <si>
    <t>EXP088</t>
  </si>
  <si>
    <t>EXP089</t>
  </si>
  <si>
    <t>EXP090</t>
  </si>
  <si>
    <t>EXP091</t>
  </si>
  <si>
    <t>Netflix</t>
  </si>
  <si>
    <t>Netflix Subscription</t>
  </si>
  <si>
    <t>EXP092</t>
  </si>
  <si>
    <t>EXP093</t>
  </si>
  <si>
    <t>EXP094</t>
  </si>
  <si>
    <t>EXP095</t>
  </si>
  <si>
    <t>EXP096</t>
  </si>
  <si>
    <t>EXP097</t>
  </si>
  <si>
    <t>EXP098</t>
  </si>
  <si>
    <t>EXP099</t>
  </si>
  <si>
    <t>EXP100</t>
  </si>
  <si>
    <t>EXP101</t>
  </si>
  <si>
    <t>EXP102</t>
  </si>
  <si>
    <t>EXP103</t>
  </si>
  <si>
    <t>EXP104</t>
  </si>
  <si>
    <t>EXP105</t>
  </si>
  <si>
    <t>EXP106</t>
  </si>
  <si>
    <t>EXP107</t>
  </si>
  <si>
    <t>EXP108</t>
  </si>
  <si>
    <t>EXP109</t>
  </si>
  <si>
    <t>EXP110</t>
  </si>
  <si>
    <t>EXP111</t>
  </si>
  <si>
    <t>EXP112</t>
  </si>
  <si>
    <t>EXP113</t>
  </si>
  <si>
    <t>EXP114</t>
  </si>
  <si>
    <t>EXP115</t>
  </si>
  <si>
    <t>EXP116</t>
  </si>
  <si>
    <t>EXP117</t>
  </si>
  <si>
    <t>EXP118</t>
  </si>
  <si>
    <t>EXP119</t>
  </si>
  <si>
    <t>EXP120</t>
  </si>
  <si>
    <t>VLOOKUP: Description by Reference ID</t>
  </si>
  <si>
    <t>HLOOKUP: Month Name from Month #</t>
  </si>
  <si>
    <t>Month #</t>
  </si>
  <si>
    <t>Result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</si>
  <si>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</si>
  <si>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</si>
  <si>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</si>
  <si>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</si>
  <si>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</si>
  <si>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</si>
  <si>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</si>
  <si>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</si>
  <si>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</si>
  <si>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</si>
  <si>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</si>
  <si>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XLOOKUP: Category by Reference ID</t>
  </si>
  <si>
    <t>Formulas</t>
  </si>
  <si>
    <t>SUMIF: Total spent in Food</t>
  </si>
  <si>
    <t>COUNTIF: Number of Transport transactions</t>
  </si>
  <si>
    <t>SUMIFS: Food expenses paid by Card</t>
  </si>
  <si>
    <t>COUNTIFS: Entertainment transactions in June</t>
  </si>
  <si>
    <t>Dashboard (static, pivot-like tables)</t>
  </si>
  <si>
    <t>Monthly Expense Trend</t>
  </si>
  <si>
    <t>Month</t>
  </si>
  <si>
    <t>Jan</t>
  </si>
  <si>
    <t>Expense</t>
  </si>
  <si>
    <t>Expense by Category</t>
  </si>
  <si>
    <t>Total</t>
  </si>
  <si>
    <t>Expense by Payment Method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</si>
</sst>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"/>
    <numFmt numFmtId="181" formatCode="yyyy/mm/dd"/>
    <numFmt numFmtId="182" formatCode="&quot;$&quot;#,##0.00;[Red]\(&quot;$&quot;#,##0.00\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80" fontId="0" fillId="0" borderId="0" xfId="0" applyNumberFormat="1"/>
    <xf numFmtId="0" fontId="0" fillId="0" borderId="0" xfId="0" applyAlignment="1">
      <alignment horizontal="center"/>
    </xf>
    <xf numFmtId="181" fontId="0" fillId="0" borderId="0" xfId="0" applyNumberFormat="1"/>
    <xf numFmtId="0" fontId="0" fillId="3" borderId="0" xfId="0" applyFill="1"/>
    <xf numFmtId="182" fontId="0" fillId="0" borderId="0" xfId="0" applyNumberFormat="1"/>
    <xf numFmtId="0" fontId="0" fillId="4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Expense Trend (2025)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"Total Monthly Expenses"</c:f>
              <c:strCache>
                <c:ptCount val="1"/>
                <c:pt idx="0">
                  <c:v>Total Monthly Expenses</c:v>
                </c:pt>
              </c:strCache>
            </c:strRef>
          </c:tx>
          <c:spPr>
            <a:ln w="28575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Dashboard!$B$4:$M$4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Dashboard!$B$5:$M$5</c:f>
              <c:numCache>
                <c:formatCode>"$"#,##0.00</c:formatCode>
                <c:ptCount val="12"/>
                <c:pt idx="0">
                  <c:v>10587.81</c:v>
                </c:pt>
                <c:pt idx="1">
                  <c:v>11826.24</c:v>
                </c:pt>
                <c:pt idx="2">
                  <c:v>9211.64</c:v>
                </c:pt>
                <c:pt idx="3">
                  <c:v>7020.69</c:v>
                </c:pt>
                <c:pt idx="4">
                  <c:v>9905.43</c:v>
                </c:pt>
                <c:pt idx="5">
                  <c:v>5779.4</c:v>
                </c:pt>
                <c:pt idx="6">
                  <c:v>12870.79</c:v>
                </c:pt>
                <c:pt idx="7">
                  <c:v>11388.74</c:v>
                </c:pt>
                <c:pt idx="8">
                  <c:v>6775.42</c:v>
                </c:pt>
                <c:pt idx="9">
                  <c:v>1558.05</c:v>
                </c:pt>
                <c:pt idx="10">
                  <c:v>9510.07</c:v>
                </c:pt>
                <c:pt idx="11">
                  <c:v>10380.03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Expenses ($)</a:t>
                </a:r>
                <a:endParaRPr lang="en-US"/>
              </a:p>
            </c:rich>
          </c:tx>
          <c:layout/>
          <c:overlay val="0"/>
        </c:title>
        <c:numFmt formatCode="&quot;$&quot;#,##0.0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5c3365-8f31-41f6-9931-02b89b942e98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Breakdown</a:t>
            </a:r>
            <a:endParaRPr lang="en-US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"Expenses by Category"</c:f>
              <c:strCache>
                <c:ptCount val="1"/>
                <c:pt idx="0">
                  <c:v>Expenses by Category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dPt>
            <c:idx val="5"/>
            <c:bubble3D val="0"/>
          </c:dPt>
          <c:dPt>
            <c:idx val="6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Dashboard!$A$9:$A$15</c:f>
              <c:strCache>
                <c:ptCount val="7"/>
                <c:pt idx="1">
                  <c:v>Rent</c:v>
                </c:pt>
                <c:pt idx="2">
                  <c:v>Entertainment</c:v>
                </c:pt>
                <c:pt idx="3">
                  <c:v>Education</c:v>
                </c:pt>
                <c:pt idx="4">
                  <c:v>Food</c:v>
                </c:pt>
                <c:pt idx="5">
                  <c:v>Healthcare</c:v>
                </c:pt>
                <c:pt idx="6">
                  <c:v>Transport</c:v>
                </c:pt>
              </c:strCache>
            </c:strRef>
          </c:cat>
          <c:val>
            <c:numRef>
              <c:f>Dashboard!$B$9:$B$15</c:f>
              <c:numCache>
                <c:formatCode>General</c:formatCode>
                <c:ptCount val="7"/>
                <c:pt idx="1" c:formatCode="&quot;$&quot;#,##0.00">
                  <c:v>19458.31</c:v>
                </c:pt>
                <c:pt idx="2" c:formatCode="&quot;$&quot;#,##0.00">
                  <c:v>24118.67</c:v>
                </c:pt>
                <c:pt idx="3" c:formatCode="&quot;$&quot;#,##0.00">
                  <c:v>17243.97</c:v>
                </c:pt>
                <c:pt idx="4" c:formatCode="&quot;$&quot;#,##0.00">
                  <c:v>16462.35</c:v>
                </c:pt>
                <c:pt idx="5" c:formatCode="&quot;$&quot;#,##0.00">
                  <c:v>12803.63</c:v>
                </c:pt>
                <c:pt idx="6" c:formatCode="&quot;$&quot;#,##0.00">
                  <c:v>7535.21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4f24d0-dab5-42c8-9e21-587cd0c0bd2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220980</xdr:colOff>
      <xdr:row>9</xdr:row>
      <xdr:rowOff>7620</xdr:rowOff>
    </xdr:from>
    <xdr:to>
      <xdr:col>19</xdr:col>
      <xdr:colOff>342900</xdr:colOff>
      <xdr:row>26</xdr:row>
      <xdr:rowOff>64770</xdr:rowOff>
    </xdr:to>
    <xdr:graphicFrame>
      <xdr:nvGraphicFramePr>
        <xdr:cNvPr id="2" name="Chart 1"/>
        <xdr:cNvGraphicFramePr/>
      </xdr:nvGraphicFramePr>
      <xdr:xfrm>
        <a:off x="9507220" y="1653540"/>
        <a:ext cx="5798820" cy="3166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426720</xdr:colOff>
      <xdr:row>9</xdr:row>
      <xdr:rowOff>0</xdr:rowOff>
    </xdr:from>
    <xdr:to>
      <xdr:col>10</xdr:col>
      <xdr:colOff>123190</xdr:colOff>
      <xdr:row>26</xdr:row>
      <xdr:rowOff>57150</xdr:rowOff>
    </xdr:to>
    <xdr:graphicFrame>
      <xdr:nvGraphicFramePr>
        <xdr:cNvPr id="3" name="Chart 2"/>
        <xdr:cNvGraphicFramePr/>
      </xdr:nvGraphicFramePr>
      <xdr:xfrm>
        <a:off x="3610610" y="1645920"/>
        <a:ext cx="5798820" cy="3166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G121" totalsRowShown="0">
  <autoFilter xmlns:etc="http://www.wps.cn/officeDocument/2017/etCustomData" ref="A1:G121" etc:filterBottomFollowUsedRange="0"/>
  <tableColumns count="7">
    <tableColumn id="1" name="Date"/>
    <tableColumn id="2" name="Category"/>
    <tableColumn id="3" name="Subcategory"/>
    <tableColumn id="4" name="Payment Method"/>
    <tableColumn id="5" name="Description"/>
    <tableColumn id="6" name="Amount"/>
    <tableColumn id="7" name="Referenc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1"/>
  <sheetViews>
    <sheetView workbookViewId="0">
      <pane ySplit="1" topLeftCell="A9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2.712962962963" customWidth="1"/>
    <col min="2" max="4" width="14.712962962963" customWidth="1"/>
    <col min="5" max="5" width="25.712962962963" customWidth="1"/>
    <col min="6" max="7" width="12.71296296296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5">
        <v>46000</v>
      </c>
      <c r="B2" s="6" t="s">
        <v>7</v>
      </c>
      <c r="C2" s="6" t="s">
        <v>8</v>
      </c>
      <c r="D2" s="6" t="s">
        <v>9</v>
      </c>
      <c r="E2" s="6" t="s">
        <v>10</v>
      </c>
      <c r="F2" s="7">
        <v>-450.31</v>
      </c>
      <c r="G2" s="4" t="s">
        <v>11</v>
      </c>
    </row>
    <row r="3" spans="1:7">
      <c r="A3" s="5">
        <v>45944</v>
      </c>
      <c r="B3" s="8" t="s">
        <v>7</v>
      </c>
      <c r="C3" s="8" t="s">
        <v>8</v>
      </c>
      <c r="D3" s="8" t="s">
        <v>12</v>
      </c>
      <c r="E3" s="8" t="s">
        <v>10</v>
      </c>
      <c r="F3" s="7">
        <v>-64.45</v>
      </c>
      <c r="G3" s="4" t="s">
        <v>13</v>
      </c>
    </row>
    <row r="4" spans="1:7">
      <c r="A4" s="5">
        <v>45920</v>
      </c>
      <c r="B4" s="6" t="s">
        <v>14</v>
      </c>
      <c r="C4" s="6" t="s">
        <v>15</v>
      </c>
      <c r="D4" s="6" t="s">
        <v>12</v>
      </c>
      <c r="E4" s="6" t="s">
        <v>16</v>
      </c>
      <c r="F4" s="7">
        <v>-1124.68</v>
      </c>
      <c r="G4" s="4" t="s">
        <v>17</v>
      </c>
    </row>
    <row r="5" spans="1:7">
      <c r="A5" s="5">
        <v>45888</v>
      </c>
      <c r="B5" s="8" t="s">
        <v>18</v>
      </c>
      <c r="C5" s="8" t="s">
        <v>19</v>
      </c>
      <c r="D5" s="8" t="s">
        <v>20</v>
      </c>
      <c r="E5" s="8" t="s">
        <v>21</v>
      </c>
      <c r="F5" s="7">
        <v>-1619.81</v>
      </c>
      <c r="G5" s="4" t="s">
        <v>22</v>
      </c>
    </row>
    <row r="6" spans="1:7">
      <c r="A6" s="5">
        <v>46005</v>
      </c>
      <c r="B6" s="6" t="s">
        <v>23</v>
      </c>
      <c r="C6" s="6" t="s">
        <v>24</v>
      </c>
      <c r="D6" s="6" t="s">
        <v>20</v>
      </c>
      <c r="E6" s="6" t="s">
        <v>25</v>
      </c>
      <c r="F6" s="7">
        <v>-559.35</v>
      </c>
      <c r="G6" s="4" t="s">
        <v>26</v>
      </c>
    </row>
    <row r="7" spans="1:7">
      <c r="A7" s="5">
        <v>45691</v>
      </c>
      <c r="B7" s="8" t="s">
        <v>14</v>
      </c>
      <c r="C7" s="8" t="s">
        <v>27</v>
      </c>
      <c r="D7" s="8" t="s">
        <v>28</v>
      </c>
      <c r="E7" s="8" t="s">
        <v>29</v>
      </c>
      <c r="F7" s="7">
        <v>-197.95</v>
      </c>
      <c r="G7" s="4" t="s">
        <v>30</v>
      </c>
    </row>
    <row r="8" spans="1:7">
      <c r="A8" s="5">
        <v>45803</v>
      </c>
      <c r="B8" s="6" t="s">
        <v>31</v>
      </c>
      <c r="C8" s="6" t="s">
        <v>32</v>
      </c>
      <c r="D8" s="6" t="s">
        <v>12</v>
      </c>
      <c r="E8" s="6" t="s">
        <v>33</v>
      </c>
      <c r="F8" s="7">
        <v>-1460.81</v>
      </c>
      <c r="G8" s="4" t="s">
        <v>34</v>
      </c>
    </row>
    <row r="9" spans="1:7">
      <c r="A9" s="5">
        <v>45706</v>
      </c>
      <c r="B9" s="8" t="s">
        <v>7</v>
      </c>
      <c r="C9" s="8" t="s">
        <v>8</v>
      </c>
      <c r="D9" s="8" t="s">
        <v>20</v>
      </c>
      <c r="E9" s="8" t="s">
        <v>10</v>
      </c>
      <c r="F9" s="7">
        <v>-1659.66</v>
      </c>
      <c r="G9" s="4" t="s">
        <v>35</v>
      </c>
    </row>
    <row r="10" spans="1:7">
      <c r="A10" s="5">
        <v>45770</v>
      </c>
      <c r="B10" s="6" t="s">
        <v>31</v>
      </c>
      <c r="C10" s="6" t="s">
        <v>32</v>
      </c>
      <c r="D10" s="6" t="s">
        <v>12</v>
      </c>
      <c r="E10" s="6" t="s">
        <v>33</v>
      </c>
      <c r="F10" s="7">
        <v>-96.42</v>
      </c>
      <c r="G10" s="4" t="s">
        <v>36</v>
      </c>
    </row>
    <row r="11" spans="1:7">
      <c r="A11" s="5">
        <v>45716</v>
      </c>
      <c r="B11" s="8" t="s">
        <v>14</v>
      </c>
      <c r="C11" s="8" t="s">
        <v>27</v>
      </c>
      <c r="D11" s="8" t="s">
        <v>9</v>
      </c>
      <c r="E11" s="8" t="s">
        <v>29</v>
      </c>
      <c r="F11" s="7">
        <v>-1733.63</v>
      </c>
      <c r="G11" s="4" t="s">
        <v>37</v>
      </c>
    </row>
    <row r="12" spans="1:7">
      <c r="A12" s="5">
        <v>45890</v>
      </c>
      <c r="B12" s="6" t="s">
        <v>18</v>
      </c>
      <c r="C12" s="6" t="s">
        <v>38</v>
      </c>
      <c r="D12" s="6" t="s">
        <v>20</v>
      </c>
      <c r="E12" s="6" t="s">
        <v>39</v>
      </c>
      <c r="F12" s="7">
        <v>-329.49</v>
      </c>
      <c r="G12" s="4" t="s">
        <v>40</v>
      </c>
    </row>
    <row r="13" spans="1:7">
      <c r="A13" s="5">
        <v>45970</v>
      </c>
      <c r="B13" s="8" t="s">
        <v>31</v>
      </c>
      <c r="C13" s="8" t="s">
        <v>41</v>
      </c>
      <c r="D13" s="8" t="s">
        <v>12</v>
      </c>
      <c r="E13" s="8" t="s">
        <v>42</v>
      </c>
      <c r="F13" s="7">
        <v>-1220.22</v>
      </c>
      <c r="G13" s="4" t="s">
        <v>43</v>
      </c>
    </row>
    <row r="14" spans="1:7">
      <c r="A14" s="5">
        <v>45999</v>
      </c>
      <c r="B14" s="6" t="s">
        <v>44</v>
      </c>
      <c r="C14" s="6" t="s">
        <v>45</v>
      </c>
      <c r="D14" s="6" t="s">
        <v>9</v>
      </c>
      <c r="E14" s="6" t="s">
        <v>46</v>
      </c>
      <c r="F14" s="7">
        <v>-927.21</v>
      </c>
      <c r="G14" s="4" t="s">
        <v>47</v>
      </c>
    </row>
    <row r="15" spans="1:7">
      <c r="A15" s="5">
        <v>46009</v>
      </c>
      <c r="B15" s="8" t="s">
        <v>48</v>
      </c>
      <c r="C15" s="8" t="s">
        <v>49</v>
      </c>
      <c r="D15" s="8" t="s">
        <v>9</v>
      </c>
      <c r="E15" s="8" t="s">
        <v>50</v>
      </c>
      <c r="F15" s="7">
        <v>-1370.81</v>
      </c>
      <c r="G15" s="4" t="s">
        <v>51</v>
      </c>
    </row>
    <row r="16" spans="1:7">
      <c r="A16" s="5">
        <v>45683</v>
      </c>
      <c r="B16" s="6" t="s">
        <v>23</v>
      </c>
      <c r="C16" s="6" t="s">
        <v>24</v>
      </c>
      <c r="D16" s="6" t="s">
        <v>20</v>
      </c>
      <c r="E16" s="6" t="s">
        <v>25</v>
      </c>
      <c r="F16" s="7">
        <v>-805.32</v>
      </c>
      <c r="G16" s="4" t="s">
        <v>52</v>
      </c>
    </row>
    <row r="17" spans="1:7">
      <c r="A17" s="5">
        <v>45953</v>
      </c>
      <c r="B17" s="8" t="s">
        <v>7</v>
      </c>
      <c r="C17" s="8" t="s">
        <v>8</v>
      </c>
      <c r="D17" s="8" t="s">
        <v>20</v>
      </c>
      <c r="E17" s="8" t="s">
        <v>10</v>
      </c>
      <c r="F17" s="7">
        <v>-429.19</v>
      </c>
      <c r="G17" s="4" t="s">
        <v>53</v>
      </c>
    </row>
    <row r="18" spans="1:7">
      <c r="A18" s="5">
        <v>45976</v>
      </c>
      <c r="B18" s="6" t="s">
        <v>54</v>
      </c>
      <c r="C18" s="6" t="s">
        <v>55</v>
      </c>
      <c r="D18" s="6" t="s">
        <v>9</v>
      </c>
      <c r="E18" s="6" t="s">
        <v>56</v>
      </c>
      <c r="F18" s="3">
        <v>1427.08</v>
      </c>
      <c r="G18" s="4" t="s">
        <v>57</v>
      </c>
    </row>
    <row r="19" spans="1:7">
      <c r="A19" s="5">
        <v>46010</v>
      </c>
      <c r="B19" s="8" t="s">
        <v>14</v>
      </c>
      <c r="C19" s="8" t="s">
        <v>27</v>
      </c>
      <c r="D19" s="8" t="s">
        <v>28</v>
      </c>
      <c r="E19" s="8" t="s">
        <v>29</v>
      </c>
      <c r="F19" s="7">
        <v>-1796.16</v>
      </c>
      <c r="G19" s="4" t="s">
        <v>58</v>
      </c>
    </row>
    <row r="20" spans="1:7">
      <c r="A20" s="5">
        <v>45752</v>
      </c>
      <c r="B20" s="6" t="s">
        <v>18</v>
      </c>
      <c r="C20" s="6" t="s">
        <v>38</v>
      </c>
      <c r="D20" s="6" t="s">
        <v>28</v>
      </c>
      <c r="E20" s="6" t="s">
        <v>39</v>
      </c>
      <c r="F20" s="7">
        <v>-186.36</v>
      </c>
      <c r="G20" s="4" t="s">
        <v>59</v>
      </c>
    </row>
    <row r="21" spans="1:7">
      <c r="A21" s="5">
        <v>45737</v>
      </c>
      <c r="B21" s="8" t="s">
        <v>23</v>
      </c>
      <c r="C21" s="8" t="s">
        <v>24</v>
      </c>
      <c r="D21" s="8" t="s">
        <v>9</v>
      </c>
      <c r="E21" s="8" t="s">
        <v>25</v>
      </c>
      <c r="F21" s="7">
        <v>-1585.2</v>
      </c>
      <c r="G21" s="4" t="s">
        <v>60</v>
      </c>
    </row>
    <row r="22" spans="1:7">
      <c r="A22" s="5">
        <v>45701</v>
      </c>
      <c r="B22" s="6" t="s">
        <v>18</v>
      </c>
      <c r="C22" s="6" t="s">
        <v>61</v>
      </c>
      <c r="D22" s="6" t="s">
        <v>28</v>
      </c>
      <c r="E22" s="6" t="s">
        <v>62</v>
      </c>
      <c r="F22" s="7">
        <v>-1193.8</v>
      </c>
      <c r="G22" s="4" t="s">
        <v>63</v>
      </c>
    </row>
    <row r="23" spans="1:7">
      <c r="A23" s="5">
        <v>45928</v>
      </c>
      <c r="B23" s="8" t="s">
        <v>54</v>
      </c>
      <c r="C23" s="8" t="s">
        <v>64</v>
      </c>
      <c r="D23" s="8" t="s">
        <v>12</v>
      </c>
      <c r="E23" s="8" t="s">
        <v>65</v>
      </c>
      <c r="F23" s="3">
        <v>2880.99</v>
      </c>
      <c r="G23" s="4" t="s">
        <v>66</v>
      </c>
    </row>
    <row r="24" spans="1:7">
      <c r="A24" s="5">
        <v>45972</v>
      </c>
      <c r="B24" s="6" t="s">
        <v>7</v>
      </c>
      <c r="C24" s="6" t="s">
        <v>8</v>
      </c>
      <c r="D24" s="6" t="s">
        <v>12</v>
      </c>
      <c r="E24" s="6" t="s">
        <v>10</v>
      </c>
      <c r="F24" s="7">
        <v>-590.53</v>
      </c>
      <c r="G24" s="4" t="s">
        <v>67</v>
      </c>
    </row>
    <row r="25" spans="1:7">
      <c r="A25" s="5">
        <v>45681</v>
      </c>
      <c r="B25" s="8" t="s">
        <v>44</v>
      </c>
      <c r="C25" s="8" t="s">
        <v>68</v>
      </c>
      <c r="D25" s="8" t="s">
        <v>20</v>
      </c>
      <c r="E25" s="8" t="s">
        <v>69</v>
      </c>
      <c r="F25" s="7">
        <v>-1943.92</v>
      </c>
      <c r="G25" s="4" t="s">
        <v>70</v>
      </c>
    </row>
    <row r="26" spans="1:7">
      <c r="A26" s="5">
        <v>45716</v>
      </c>
      <c r="B26" s="6" t="s">
        <v>44</v>
      </c>
      <c r="C26" s="6" t="s">
        <v>45</v>
      </c>
      <c r="D26" s="6" t="s">
        <v>20</v>
      </c>
      <c r="E26" s="6" t="s">
        <v>46</v>
      </c>
      <c r="F26" s="7">
        <v>-1684.13</v>
      </c>
      <c r="G26" s="4" t="s">
        <v>71</v>
      </c>
    </row>
    <row r="27" spans="1:7">
      <c r="A27" s="5">
        <v>45833</v>
      </c>
      <c r="B27" s="8" t="s">
        <v>14</v>
      </c>
      <c r="C27" s="8" t="s">
        <v>15</v>
      </c>
      <c r="D27" s="8" t="s">
        <v>9</v>
      </c>
      <c r="E27" s="8" t="s">
        <v>16</v>
      </c>
      <c r="F27" s="7">
        <v>-1081.06</v>
      </c>
      <c r="G27" s="4" t="s">
        <v>72</v>
      </c>
    </row>
    <row r="28" spans="1:7">
      <c r="A28" s="5">
        <v>45870</v>
      </c>
      <c r="B28" s="6" t="s">
        <v>23</v>
      </c>
      <c r="C28" s="6" t="s">
        <v>73</v>
      </c>
      <c r="D28" s="6" t="s">
        <v>12</v>
      </c>
      <c r="E28" s="6" t="s">
        <v>74</v>
      </c>
      <c r="F28" s="7">
        <v>-1858.55</v>
      </c>
      <c r="G28" s="4" t="s">
        <v>75</v>
      </c>
    </row>
    <row r="29" spans="1:7">
      <c r="A29" s="5">
        <v>45665</v>
      </c>
      <c r="B29" s="8" t="s">
        <v>48</v>
      </c>
      <c r="C29" s="8" t="s">
        <v>76</v>
      </c>
      <c r="D29" s="8" t="s">
        <v>12</v>
      </c>
      <c r="E29" s="8" t="s">
        <v>77</v>
      </c>
      <c r="F29" s="7">
        <v>-175.88</v>
      </c>
      <c r="G29" s="4" t="s">
        <v>78</v>
      </c>
    </row>
    <row r="30" spans="1:7">
      <c r="A30" s="5">
        <v>45925</v>
      </c>
      <c r="B30" s="6" t="s">
        <v>54</v>
      </c>
      <c r="C30" s="6" t="s">
        <v>79</v>
      </c>
      <c r="D30" s="6" t="s">
        <v>9</v>
      </c>
      <c r="E30" s="6" t="s">
        <v>80</v>
      </c>
      <c r="F30" s="3">
        <v>949.37</v>
      </c>
      <c r="G30" s="4" t="s">
        <v>81</v>
      </c>
    </row>
    <row r="31" spans="1:7">
      <c r="A31" s="5">
        <v>45794</v>
      </c>
      <c r="B31" s="8" t="s">
        <v>54</v>
      </c>
      <c r="C31" s="8" t="s">
        <v>82</v>
      </c>
      <c r="D31" s="8" t="s">
        <v>28</v>
      </c>
      <c r="E31" s="8" t="s">
        <v>83</v>
      </c>
      <c r="F31" s="3">
        <v>3875.27</v>
      </c>
      <c r="G31" s="4" t="s">
        <v>84</v>
      </c>
    </row>
    <row r="32" spans="1:7">
      <c r="A32" s="5">
        <v>45860</v>
      </c>
      <c r="B32" s="6" t="s">
        <v>14</v>
      </c>
      <c r="C32" s="6" t="s">
        <v>27</v>
      </c>
      <c r="D32" s="6" t="s">
        <v>20</v>
      </c>
      <c r="E32" s="6" t="s">
        <v>29</v>
      </c>
      <c r="F32" s="7">
        <v>-879.01</v>
      </c>
      <c r="G32" s="4" t="s">
        <v>85</v>
      </c>
    </row>
    <row r="33" spans="1:7">
      <c r="A33" s="5">
        <v>45755</v>
      </c>
      <c r="B33" s="8" t="s">
        <v>54</v>
      </c>
      <c r="C33" s="8" t="s">
        <v>79</v>
      </c>
      <c r="D33" s="8" t="s">
        <v>12</v>
      </c>
      <c r="E33" s="8" t="s">
        <v>80</v>
      </c>
      <c r="F33" s="3">
        <v>1683.3</v>
      </c>
      <c r="G33" s="4" t="s">
        <v>86</v>
      </c>
    </row>
    <row r="34" spans="1:7">
      <c r="A34" s="5">
        <v>45660</v>
      </c>
      <c r="B34" s="6" t="s">
        <v>14</v>
      </c>
      <c r="C34" s="6" t="s">
        <v>15</v>
      </c>
      <c r="D34" s="6" t="s">
        <v>12</v>
      </c>
      <c r="E34" s="6" t="s">
        <v>16</v>
      </c>
      <c r="F34" s="7">
        <v>-461.74</v>
      </c>
      <c r="G34" s="4" t="s">
        <v>87</v>
      </c>
    </row>
    <row r="35" spans="1:7">
      <c r="A35" s="5">
        <v>45705</v>
      </c>
      <c r="B35" s="8" t="s">
        <v>23</v>
      </c>
      <c r="C35" s="8" t="s">
        <v>73</v>
      </c>
      <c r="D35" s="8" t="s">
        <v>9</v>
      </c>
      <c r="E35" s="8" t="s">
        <v>74</v>
      </c>
      <c r="F35" s="7">
        <v>-560.56</v>
      </c>
      <c r="G35" s="4" t="s">
        <v>88</v>
      </c>
    </row>
    <row r="36" spans="1:7">
      <c r="A36" s="5">
        <v>45905</v>
      </c>
      <c r="B36" s="6" t="s">
        <v>54</v>
      </c>
      <c r="C36" s="6" t="s">
        <v>82</v>
      </c>
      <c r="D36" s="6" t="s">
        <v>28</v>
      </c>
      <c r="E36" s="6" t="s">
        <v>83</v>
      </c>
      <c r="F36" s="3">
        <v>1350.49</v>
      </c>
      <c r="G36" s="4" t="s">
        <v>89</v>
      </c>
    </row>
    <row r="37" spans="1:7">
      <c r="A37" s="5">
        <v>45751</v>
      </c>
      <c r="B37" s="8" t="s">
        <v>54</v>
      </c>
      <c r="C37" s="8" t="s">
        <v>55</v>
      </c>
      <c r="D37" s="8" t="s">
        <v>12</v>
      </c>
      <c r="E37" s="8" t="s">
        <v>56</v>
      </c>
      <c r="F37" s="3">
        <v>2806.44</v>
      </c>
      <c r="G37" s="4" t="s">
        <v>90</v>
      </c>
    </row>
    <row r="38" spans="1:7">
      <c r="A38" s="5">
        <v>45853</v>
      </c>
      <c r="B38" s="6" t="s">
        <v>31</v>
      </c>
      <c r="C38" s="6" t="s">
        <v>91</v>
      </c>
      <c r="D38" s="6" t="s">
        <v>12</v>
      </c>
      <c r="E38" s="6" t="s">
        <v>92</v>
      </c>
      <c r="F38" s="7">
        <v>-1348.36</v>
      </c>
      <c r="G38" s="4" t="s">
        <v>93</v>
      </c>
    </row>
    <row r="39" spans="1:7">
      <c r="A39" s="5">
        <v>45862</v>
      </c>
      <c r="B39" s="8" t="s">
        <v>7</v>
      </c>
      <c r="C39" s="8" t="s">
        <v>8</v>
      </c>
      <c r="D39" s="8" t="s">
        <v>20</v>
      </c>
      <c r="E39" s="8" t="s">
        <v>10</v>
      </c>
      <c r="F39" s="7">
        <v>-1602.18</v>
      </c>
      <c r="G39" s="4" t="s">
        <v>94</v>
      </c>
    </row>
    <row r="40" spans="1:7">
      <c r="A40" s="5">
        <v>45754</v>
      </c>
      <c r="B40" s="6" t="s">
        <v>7</v>
      </c>
      <c r="C40" s="6" t="s">
        <v>8</v>
      </c>
      <c r="D40" s="6" t="s">
        <v>28</v>
      </c>
      <c r="E40" s="6" t="s">
        <v>10</v>
      </c>
      <c r="F40" s="7">
        <v>-284.66</v>
      </c>
      <c r="G40" s="4" t="s">
        <v>95</v>
      </c>
    </row>
    <row r="41" spans="1:7">
      <c r="A41" s="5">
        <v>45877</v>
      </c>
      <c r="B41" s="8" t="s">
        <v>44</v>
      </c>
      <c r="C41" s="8" t="s">
        <v>68</v>
      </c>
      <c r="D41" s="8" t="s">
        <v>12</v>
      </c>
      <c r="E41" s="8" t="s">
        <v>69</v>
      </c>
      <c r="F41" s="7">
        <v>-889.05</v>
      </c>
      <c r="G41" s="4" t="s">
        <v>96</v>
      </c>
    </row>
    <row r="42" spans="1:7">
      <c r="A42" s="5">
        <v>45979</v>
      </c>
      <c r="B42" s="6" t="s">
        <v>7</v>
      </c>
      <c r="C42" s="6" t="s">
        <v>8</v>
      </c>
      <c r="D42" s="6" t="s">
        <v>12</v>
      </c>
      <c r="E42" s="6" t="s">
        <v>10</v>
      </c>
      <c r="F42" s="7">
        <v>-1938.15</v>
      </c>
      <c r="G42" s="4" t="s">
        <v>97</v>
      </c>
    </row>
    <row r="43" spans="1:7">
      <c r="A43" s="5">
        <v>45854</v>
      </c>
      <c r="B43" s="8" t="s">
        <v>14</v>
      </c>
      <c r="C43" s="8" t="s">
        <v>15</v>
      </c>
      <c r="D43" s="8" t="s">
        <v>28</v>
      </c>
      <c r="E43" s="8" t="s">
        <v>16</v>
      </c>
      <c r="F43" s="7">
        <v>-431.43</v>
      </c>
      <c r="G43" s="4" t="s">
        <v>98</v>
      </c>
    </row>
    <row r="44" spans="1:7">
      <c r="A44" s="5">
        <v>45729</v>
      </c>
      <c r="B44" s="6" t="s">
        <v>18</v>
      </c>
      <c r="C44" s="6" t="s">
        <v>19</v>
      </c>
      <c r="D44" s="6" t="s">
        <v>12</v>
      </c>
      <c r="E44" s="6" t="s">
        <v>21</v>
      </c>
      <c r="F44" s="7">
        <v>-1970.69</v>
      </c>
      <c r="G44" s="4" t="s">
        <v>99</v>
      </c>
    </row>
    <row r="45" spans="1:7">
      <c r="A45" s="5">
        <v>45791</v>
      </c>
      <c r="B45" s="8" t="s">
        <v>48</v>
      </c>
      <c r="C45" s="8" t="s">
        <v>100</v>
      </c>
      <c r="D45" s="8" t="s">
        <v>28</v>
      </c>
      <c r="E45" s="8" t="s">
        <v>101</v>
      </c>
      <c r="F45" s="7">
        <v>-313.82</v>
      </c>
      <c r="G45" s="4" t="s">
        <v>102</v>
      </c>
    </row>
    <row r="46" spans="1:7">
      <c r="A46" s="5">
        <v>45676</v>
      </c>
      <c r="B46" s="6" t="s">
        <v>48</v>
      </c>
      <c r="C46" s="6" t="s">
        <v>76</v>
      </c>
      <c r="D46" s="6" t="s">
        <v>12</v>
      </c>
      <c r="E46" s="6" t="s">
        <v>77</v>
      </c>
      <c r="F46" s="7">
        <v>-1497.21</v>
      </c>
      <c r="G46" s="4" t="s">
        <v>103</v>
      </c>
    </row>
    <row r="47" spans="1:7">
      <c r="A47" s="5">
        <v>45946</v>
      </c>
      <c r="B47" s="8" t="s">
        <v>23</v>
      </c>
      <c r="C47" s="8" t="s">
        <v>24</v>
      </c>
      <c r="D47" s="8" t="s">
        <v>9</v>
      </c>
      <c r="E47" s="8" t="s">
        <v>25</v>
      </c>
      <c r="F47" s="7">
        <v>-118.47</v>
      </c>
      <c r="G47" s="4" t="s">
        <v>104</v>
      </c>
    </row>
    <row r="48" spans="1:7">
      <c r="A48" s="5">
        <v>45708</v>
      </c>
      <c r="B48" s="6" t="s">
        <v>7</v>
      </c>
      <c r="C48" s="6" t="s">
        <v>8</v>
      </c>
      <c r="D48" s="6" t="s">
        <v>12</v>
      </c>
      <c r="E48" s="6" t="s">
        <v>10</v>
      </c>
      <c r="F48" s="7">
        <v>-1352.05</v>
      </c>
      <c r="G48" s="4" t="s">
        <v>105</v>
      </c>
    </row>
    <row r="49" spans="1:7">
      <c r="A49" s="5">
        <v>45707</v>
      </c>
      <c r="B49" s="8" t="s">
        <v>14</v>
      </c>
      <c r="C49" s="8" t="s">
        <v>106</v>
      </c>
      <c r="D49" s="8" t="s">
        <v>9</v>
      </c>
      <c r="E49" s="8" t="s">
        <v>107</v>
      </c>
      <c r="F49" s="7">
        <v>-1159.94</v>
      </c>
      <c r="G49" s="4" t="s">
        <v>108</v>
      </c>
    </row>
    <row r="50" spans="1:7">
      <c r="A50" s="5">
        <v>45860</v>
      </c>
      <c r="B50" s="6" t="s">
        <v>23</v>
      </c>
      <c r="C50" s="6" t="s">
        <v>24</v>
      </c>
      <c r="D50" s="6" t="s">
        <v>20</v>
      </c>
      <c r="E50" s="6" t="s">
        <v>25</v>
      </c>
      <c r="F50" s="7">
        <v>-1869.74</v>
      </c>
      <c r="G50" s="4" t="s">
        <v>109</v>
      </c>
    </row>
    <row r="51" spans="1:7">
      <c r="A51" s="5">
        <v>45756</v>
      </c>
      <c r="B51" s="8" t="s">
        <v>14</v>
      </c>
      <c r="C51" s="8" t="s">
        <v>27</v>
      </c>
      <c r="D51" s="8" t="s">
        <v>28</v>
      </c>
      <c r="E51" s="8" t="s">
        <v>29</v>
      </c>
      <c r="F51" s="7">
        <v>-266.1</v>
      </c>
      <c r="G51" s="4" t="s">
        <v>110</v>
      </c>
    </row>
    <row r="52" spans="1:7">
      <c r="A52" s="5">
        <v>45833</v>
      </c>
      <c r="B52" s="6" t="s">
        <v>48</v>
      </c>
      <c r="C52" s="6" t="s">
        <v>100</v>
      </c>
      <c r="D52" s="6" t="s">
        <v>12</v>
      </c>
      <c r="E52" s="6" t="s">
        <v>101</v>
      </c>
      <c r="F52" s="7">
        <v>-23.58</v>
      </c>
      <c r="G52" s="4" t="s">
        <v>111</v>
      </c>
    </row>
    <row r="53" spans="1:7">
      <c r="A53" s="5">
        <v>45907</v>
      </c>
      <c r="B53" s="8" t="s">
        <v>7</v>
      </c>
      <c r="C53" s="8" t="s">
        <v>8</v>
      </c>
      <c r="D53" s="8" t="s">
        <v>20</v>
      </c>
      <c r="E53" s="8" t="s">
        <v>10</v>
      </c>
      <c r="F53" s="7">
        <v>-269.25</v>
      </c>
      <c r="G53" s="4" t="s">
        <v>112</v>
      </c>
    </row>
    <row r="54" spans="1:7">
      <c r="A54" s="5">
        <v>45759</v>
      </c>
      <c r="B54" s="6" t="s">
        <v>31</v>
      </c>
      <c r="C54" s="6" t="s">
        <v>41</v>
      </c>
      <c r="D54" s="6" t="s">
        <v>20</v>
      </c>
      <c r="E54" s="6" t="s">
        <v>42</v>
      </c>
      <c r="F54" s="7">
        <v>-319.7</v>
      </c>
      <c r="G54" s="4" t="s">
        <v>113</v>
      </c>
    </row>
    <row r="55" spans="1:7">
      <c r="A55" s="5">
        <v>45978</v>
      </c>
      <c r="B55" s="8" t="s">
        <v>48</v>
      </c>
      <c r="C55" s="8" t="s">
        <v>49</v>
      </c>
      <c r="D55" s="8" t="s">
        <v>12</v>
      </c>
      <c r="E55" s="8" t="s">
        <v>50</v>
      </c>
      <c r="F55" s="7">
        <v>-1337.39</v>
      </c>
      <c r="G55" s="4" t="s">
        <v>114</v>
      </c>
    </row>
    <row r="56" spans="1:7">
      <c r="A56" s="5">
        <v>45693</v>
      </c>
      <c r="B56" s="6" t="s">
        <v>48</v>
      </c>
      <c r="C56" s="6" t="s">
        <v>49</v>
      </c>
      <c r="D56" s="6" t="s">
        <v>20</v>
      </c>
      <c r="E56" s="6" t="s">
        <v>50</v>
      </c>
      <c r="F56" s="7">
        <v>-235.28</v>
      </c>
      <c r="G56" s="4" t="s">
        <v>115</v>
      </c>
    </row>
    <row r="57" spans="1:7">
      <c r="A57" s="5">
        <v>45787</v>
      </c>
      <c r="B57" s="8" t="s">
        <v>7</v>
      </c>
      <c r="C57" s="8" t="s">
        <v>8</v>
      </c>
      <c r="D57" s="8" t="s">
        <v>9</v>
      </c>
      <c r="E57" s="8" t="s">
        <v>10</v>
      </c>
      <c r="F57" s="7">
        <v>-1436.64</v>
      </c>
      <c r="G57" s="4" t="s">
        <v>116</v>
      </c>
    </row>
    <row r="58" spans="1:7">
      <c r="A58" s="5">
        <v>45916</v>
      </c>
      <c r="B58" s="6" t="s">
        <v>14</v>
      </c>
      <c r="C58" s="6" t="s">
        <v>27</v>
      </c>
      <c r="D58" s="6" t="s">
        <v>20</v>
      </c>
      <c r="E58" s="6" t="s">
        <v>29</v>
      </c>
      <c r="F58" s="7">
        <v>-1811.15</v>
      </c>
      <c r="G58" s="4" t="s">
        <v>117</v>
      </c>
    </row>
    <row r="59" spans="1:7">
      <c r="A59" s="5">
        <v>45975</v>
      </c>
      <c r="B59" s="8" t="s">
        <v>23</v>
      </c>
      <c r="C59" s="8" t="s">
        <v>24</v>
      </c>
      <c r="D59" s="8" t="s">
        <v>20</v>
      </c>
      <c r="E59" s="8" t="s">
        <v>25</v>
      </c>
      <c r="F59" s="7">
        <v>-92.95</v>
      </c>
      <c r="G59" s="4" t="s">
        <v>118</v>
      </c>
    </row>
    <row r="60" spans="1:7">
      <c r="A60" s="5">
        <v>45970</v>
      </c>
      <c r="B60" s="6" t="s">
        <v>31</v>
      </c>
      <c r="C60" s="6" t="s">
        <v>41</v>
      </c>
      <c r="D60" s="6" t="s">
        <v>9</v>
      </c>
      <c r="E60" s="6" t="s">
        <v>42</v>
      </c>
      <c r="F60" s="7">
        <v>-1483.76</v>
      </c>
      <c r="G60" s="4" t="s">
        <v>119</v>
      </c>
    </row>
    <row r="61" spans="1:7">
      <c r="A61" s="5">
        <v>45661</v>
      </c>
      <c r="B61" s="8" t="s">
        <v>18</v>
      </c>
      <c r="C61" s="8" t="s">
        <v>61</v>
      </c>
      <c r="D61" s="8" t="s">
        <v>12</v>
      </c>
      <c r="E61" s="8" t="s">
        <v>62</v>
      </c>
      <c r="F61" s="7">
        <v>-1890.38</v>
      </c>
      <c r="G61" s="4" t="s">
        <v>120</v>
      </c>
    </row>
    <row r="62" spans="1:7">
      <c r="A62" s="5">
        <v>45684</v>
      </c>
      <c r="B62" s="6" t="s">
        <v>44</v>
      </c>
      <c r="C62" s="6" t="s">
        <v>45</v>
      </c>
      <c r="D62" s="6" t="s">
        <v>20</v>
      </c>
      <c r="E62" s="6" t="s">
        <v>46</v>
      </c>
      <c r="F62" s="7">
        <v>-1167.11</v>
      </c>
      <c r="G62" s="4" t="s">
        <v>121</v>
      </c>
    </row>
    <row r="63" spans="1:7">
      <c r="A63" s="5">
        <v>45718</v>
      </c>
      <c r="B63" s="8" t="s">
        <v>44</v>
      </c>
      <c r="C63" s="8" t="s">
        <v>68</v>
      </c>
      <c r="D63" s="8" t="s">
        <v>20</v>
      </c>
      <c r="E63" s="8" t="s">
        <v>69</v>
      </c>
      <c r="F63" s="7">
        <v>-732.48</v>
      </c>
      <c r="G63" s="4" t="s">
        <v>122</v>
      </c>
    </row>
    <row r="64" spans="1:7">
      <c r="A64" s="5">
        <v>45769</v>
      </c>
      <c r="B64" s="6" t="s">
        <v>23</v>
      </c>
      <c r="C64" s="6" t="s">
        <v>73</v>
      </c>
      <c r="D64" s="6" t="s">
        <v>9</v>
      </c>
      <c r="E64" s="6" t="s">
        <v>74</v>
      </c>
      <c r="F64" s="7">
        <v>-1335.53</v>
      </c>
      <c r="G64" s="4" t="s">
        <v>123</v>
      </c>
    </row>
    <row r="65" spans="1:7">
      <c r="A65" s="5">
        <v>45858</v>
      </c>
      <c r="B65" s="8" t="s">
        <v>31</v>
      </c>
      <c r="C65" s="8" t="s">
        <v>32</v>
      </c>
      <c r="D65" s="8" t="s">
        <v>9</v>
      </c>
      <c r="E65" s="8" t="s">
        <v>33</v>
      </c>
      <c r="F65" s="7">
        <v>-1851.9</v>
      </c>
      <c r="G65" s="4" t="s">
        <v>124</v>
      </c>
    </row>
    <row r="66" spans="1:7">
      <c r="A66" s="5">
        <v>45730</v>
      </c>
      <c r="B66" s="6" t="s">
        <v>14</v>
      </c>
      <c r="C66" s="6" t="s">
        <v>15</v>
      </c>
      <c r="D66" s="6" t="s">
        <v>12</v>
      </c>
      <c r="E66" s="6" t="s">
        <v>16</v>
      </c>
      <c r="F66" s="7">
        <v>-362.82</v>
      </c>
      <c r="G66" s="4" t="s">
        <v>125</v>
      </c>
    </row>
    <row r="67" spans="1:7">
      <c r="A67" s="5">
        <v>45989</v>
      </c>
      <c r="B67" s="8" t="s">
        <v>31</v>
      </c>
      <c r="C67" s="8" t="s">
        <v>91</v>
      </c>
      <c r="D67" s="8" t="s">
        <v>9</v>
      </c>
      <c r="E67" s="8" t="s">
        <v>92</v>
      </c>
      <c r="F67" s="7">
        <v>-537.28</v>
      </c>
      <c r="G67" s="4" t="s">
        <v>126</v>
      </c>
    </row>
    <row r="68" spans="1:7">
      <c r="A68" s="5">
        <v>45685</v>
      </c>
      <c r="B68" s="6" t="s">
        <v>7</v>
      </c>
      <c r="C68" s="6" t="s">
        <v>8</v>
      </c>
      <c r="D68" s="6" t="s">
        <v>28</v>
      </c>
      <c r="E68" s="6" t="s">
        <v>10</v>
      </c>
      <c r="F68" s="7">
        <v>-448.76</v>
      </c>
      <c r="G68" s="4" t="s">
        <v>127</v>
      </c>
    </row>
    <row r="69" spans="1:7">
      <c r="A69" s="5">
        <v>45804</v>
      </c>
      <c r="B69" s="8" t="s">
        <v>54</v>
      </c>
      <c r="C69" s="8" t="s">
        <v>64</v>
      </c>
      <c r="D69" s="8" t="s">
        <v>9</v>
      </c>
      <c r="E69" s="8" t="s">
        <v>65</v>
      </c>
      <c r="F69" s="3">
        <v>1280.23</v>
      </c>
      <c r="G69" s="4" t="s">
        <v>128</v>
      </c>
    </row>
    <row r="70" spans="1:7">
      <c r="A70" s="5">
        <v>45817</v>
      </c>
      <c r="B70" s="6" t="s">
        <v>14</v>
      </c>
      <c r="C70" s="6" t="s">
        <v>106</v>
      </c>
      <c r="D70" s="6" t="s">
        <v>12</v>
      </c>
      <c r="E70" s="6" t="s">
        <v>107</v>
      </c>
      <c r="F70" s="7">
        <v>-1933.94</v>
      </c>
      <c r="G70" s="4" t="s">
        <v>129</v>
      </c>
    </row>
    <row r="71" spans="1:7">
      <c r="A71" s="5">
        <v>45978</v>
      </c>
      <c r="B71" s="8" t="s">
        <v>48</v>
      </c>
      <c r="C71" s="8" t="s">
        <v>100</v>
      </c>
      <c r="D71" s="8" t="s">
        <v>28</v>
      </c>
      <c r="E71" s="8" t="s">
        <v>101</v>
      </c>
      <c r="F71" s="7">
        <v>-1360.64</v>
      </c>
      <c r="G71" s="4" t="s">
        <v>130</v>
      </c>
    </row>
    <row r="72" spans="1:7">
      <c r="A72" s="5">
        <v>45697</v>
      </c>
      <c r="B72" s="6" t="s">
        <v>31</v>
      </c>
      <c r="C72" s="6" t="s">
        <v>41</v>
      </c>
      <c r="D72" s="6" t="s">
        <v>9</v>
      </c>
      <c r="E72" s="6" t="s">
        <v>42</v>
      </c>
      <c r="F72" s="7">
        <v>-1163.28</v>
      </c>
      <c r="G72" s="4" t="s">
        <v>131</v>
      </c>
    </row>
    <row r="73" spans="1:7">
      <c r="A73" s="5">
        <v>45708</v>
      </c>
      <c r="B73" s="8" t="s">
        <v>48</v>
      </c>
      <c r="C73" s="8" t="s">
        <v>76</v>
      </c>
      <c r="D73" s="8" t="s">
        <v>28</v>
      </c>
      <c r="E73" s="8" t="s">
        <v>77</v>
      </c>
      <c r="F73" s="7">
        <v>-694.65</v>
      </c>
      <c r="G73" s="4" t="s">
        <v>132</v>
      </c>
    </row>
    <row r="74" spans="1:7">
      <c r="A74" s="5">
        <v>45947</v>
      </c>
      <c r="B74" s="6" t="s">
        <v>31</v>
      </c>
      <c r="C74" s="6" t="s">
        <v>91</v>
      </c>
      <c r="D74" s="6" t="s">
        <v>12</v>
      </c>
      <c r="E74" s="6" t="s">
        <v>92</v>
      </c>
      <c r="F74" s="7">
        <v>-773.46</v>
      </c>
      <c r="G74" s="4" t="s">
        <v>133</v>
      </c>
    </row>
    <row r="75" spans="1:7">
      <c r="A75" s="5">
        <v>45680</v>
      </c>
      <c r="B75" s="8" t="s">
        <v>14</v>
      </c>
      <c r="C75" s="8" t="s">
        <v>27</v>
      </c>
      <c r="D75" s="8" t="s">
        <v>28</v>
      </c>
      <c r="E75" s="8" t="s">
        <v>29</v>
      </c>
      <c r="F75" s="7">
        <v>-8.37</v>
      </c>
      <c r="G75" s="4" t="s">
        <v>134</v>
      </c>
    </row>
    <row r="76" spans="1:7">
      <c r="A76" s="5">
        <v>45841</v>
      </c>
      <c r="B76" s="6" t="s">
        <v>14</v>
      </c>
      <c r="C76" s="6" t="s">
        <v>27</v>
      </c>
      <c r="D76" s="6" t="s">
        <v>20</v>
      </c>
      <c r="E76" s="6" t="s">
        <v>29</v>
      </c>
      <c r="F76" s="7">
        <v>-1248.2</v>
      </c>
      <c r="G76" s="4" t="s">
        <v>135</v>
      </c>
    </row>
    <row r="77" spans="1:7">
      <c r="A77" s="5">
        <v>45910</v>
      </c>
      <c r="B77" s="8" t="s">
        <v>7</v>
      </c>
      <c r="C77" s="8" t="s">
        <v>8</v>
      </c>
      <c r="D77" s="8" t="s">
        <v>28</v>
      </c>
      <c r="E77" s="8" t="s">
        <v>10</v>
      </c>
      <c r="F77" s="7">
        <v>-655.73</v>
      </c>
      <c r="G77" s="4" t="s">
        <v>136</v>
      </c>
    </row>
    <row r="78" spans="1:7">
      <c r="A78" s="5">
        <v>45723</v>
      </c>
      <c r="B78" s="6" t="s">
        <v>48</v>
      </c>
      <c r="C78" s="6" t="s">
        <v>49</v>
      </c>
      <c r="D78" s="6" t="s">
        <v>28</v>
      </c>
      <c r="E78" s="6" t="s">
        <v>50</v>
      </c>
      <c r="F78" s="7">
        <v>-1331.53</v>
      </c>
      <c r="G78" s="4" t="s">
        <v>137</v>
      </c>
    </row>
    <row r="79" spans="1:7">
      <c r="A79" s="5">
        <v>45997</v>
      </c>
      <c r="B79" s="8" t="s">
        <v>18</v>
      </c>
      <c r="C79" s="8" t="s">
        <v>61</v>
      </c>
      <c r="D79" s="8" t="s">
        <v>20</v>
      </c>
      <c r="E79" s="8" t="s">
        <v>62</v>
      </c>
      <c r="F79" s="7">
        <v>-815.12</v>
      </c>
      <c r="G79" s="4" t="s">
        <v>138</v>
      </c>
    </row>
    <row r="80" spans="1:7">
      <c r="A80" s="5">
        <v>45784</v>
      </c>
      <c r="B80" s="6" t="s">
        <v>23</v>
      </c>
      <c r="C80" s="6" t="s">
        <v>73</v>
      </c>
      <c r="D80" s="6" t="s">
        <v>28</v>
      </c>
      <c r="E80" s="6" t="s">
        <v>74</v>
      </c>
      <c r="F80" s="7">
        <v>-1572.59</v>
      </c>
      <c r="G80" s="4" t="s">
        <v>139</v>
      </c>
    </row>
    <row r="81" spans="1:7">
      <c r="A81" s="5">
        <v>45884</v>
      </c>
      <c r="B81" s="8" t="s">
        <v>31</v>
      </c>
      <c r="C81" s="8" t="s">
        <v>91</v>
      </c>
      <c r="D81" s="8" t="s">
        <v>9</v>
      </c>
      <c r="E81" s="8" t="s">
        <v>92</v>
      </c>
      <c r="F81" s="7">
        <v>-1024.79</v>
      </c>
      <c r="G81" s="4" t="s">
        <v>140</v>
      </c>
    </row>
    <row r="82" spans="1:7">
      <c r="A82" s="5">
        <v>45698</v>
      </c>
      <c r="B82" s="6" t="s">
        <v>44</v>
      </c>
      <c r="C82" s="6" t="s">
        <v>45</v>
      </c>
      <c r="D82" s="6" t="s">
        <v>20</v>
      </c>
      <c r="E82" s="6" t="s">
        <v>46</v>
      </c>
      <c r="F82" s="7">
        <v>-191.31</v>
      </c>
      <c r="G82" s="4" t="s">
        <v>141</v>
      </c>
    </row>
    <row r="83" spans="1:7">
      <c r="A83" s="5">
        <v>45773</v>
      </c>
      <c r="B83" s="8" t="s">
        <v>14</v>
      </c>
      <c r="C83" s="8" t="s">
        <v>27</v>
      </c>
      <c r="D83" s="8" t="s">
        <v>9</v>
      </c>
      <c r="E83" s="8" t="s">
        <v>29</v>
      </c>
      <c r="F83" s="7">
        <v>-298.97</v>
      </c>
      <c r="G83" s="4" t="s">
        <v>142</v>
      </c>
    </row>
    <row r="84" spans="1:7">
      <c r="A84" s="5">
        <v>45889</v>
      </c>
      <c r="B84" s="6" t="s">
        <v>23</v>
      </c>
      <c r="C84" s="6" t="s">
        <v>24</v>
      </c>
      <c r="D84" s="6" t="s">
        <v>12</v>
      </c>
      <c r="E84" s="6" t="s">
        <v>25</v>
      </c>
      <c r="F84" s="7">
        <v>-913.56</v>
      </c>
      <c r="G84" s="4" t="s">
        <v>143</v>
      </c>
    </row>
    <row r="85" spans="1:7">
      <c r="A85" s="5">
        <v>45882</v>
      </c>
      <c r="B85" s="8" t="s">
        <v>14</v>
      </c>
      <c r="C85" s="8" t="s">
        <v>106</v>
      </c>
      <c r="D85" s="8" t="s">
        <v>9</v>
      </c>
      <c r="E85" s="8" t="s">
        <v>107</v>
      </c>
      <c r="F85" s="7">
        <v>-299.4</v>
      </c>
      <c r="G85" s="4" t="s">
        <v>144</v>
      </c>
    </row>
    <row r="86" spans="1:7">
      <c r="A86" s="5">
        <v>45846</v>
      </c>
      <c r="B86" s="6" t="s">
        <v>23</v>
      </c>
      <c r="C86" s="6" t="s">
        <v>24</v>
      </c>
      <c r="D86" s="6" t="s">
        <v>9</v>
      </c>
      <c r="E86" s="6" t="s">
        <v>25</v>
      </c>
      <c r="F86" s="7">
        <v>-1609.2</v>
      </c>
      <c r="G86" s="4" t="s">
        <v>145</v>
      </c>
    </row>
    <row r="87" spans="1:7">
      <c r="A87" s="5">
        <v>45908</v>
      </c>
      <c r="B87" s="8" t="s">
        <v>54</v>
      </c>
      <c r="C87" s="8" t="s">
        <v>79</v>
      </c>
      <c r="D87" s="8" t="s">
        <v>12</v>
      </c>
      <c r="E87" s="8" t="s">
        <v>80</v>
      </c>
      <c r="F87" s="3">
        <v>2097.62</v>
      </c>
      <c r="G87" s="4" t="s">
        <v>146</v>
      </c>
    </row>
    <row r="88" spans="1:7">
      <c r="A88" s="5">
        <v>45889</v>
      </c>
      <c r="B88" s="6" t="s">
        <v>54</v>
      </c>
      <c r="C88" s="6" t="s">
        <v>64</v>
      </c>
      <c r="D88" s="6" t="s">
        <v>28</v>
      </c>
      <c r="E88" s="6" t="s">
        <v>65</v>
      </c>
      <c r="F88" s="3">
        <v>3406.99</v>
      </c>
      <c r="G88" s="4" t="s">
        <v>147</v>
      </c>
    </row>
    <row r="89" spans="1:7">
      <c r="A89" s="5">
        <v>46019</v>
      </c>
      <c r="B89" s="8" t="s">
        <v>54</v>
      </c>
      <c r="C89" s="8" t="s">
        <v>82</v>
      </c>
      <c r="D89" s="8" t="s">
        <v>28</v>
      </c>
      <c r="E89" s="8" t="s">
        <v>83</v>
      </c>
      <c r="F89" s="3">
        <v>2075.24</v>
      </c>
      <c r="G89" s="4" t="s">
        <v>148</v>
      </c>
    </row>
    <row r="90" spans="1:7">
      <c r="A90" s="5">
        <v>45916</v>
      </c>
      <c r="B90" s="6" t="s">
        <v>14</v>
      </c>
      <c r="C90" s="6" t="s">
        <v>27</v>
      </c>
      <c r="D90" s="6" t="s">
        <v>9</v>
      </c>
      <c r="E90" s="6" t="s">
        <v>29</v>
      </c>
      <c r="F90" s="7">
        <v>-552.82</v>
      </c>
      <c r="G90" s="4" t="s">
        <v>149</v>
      </c>
    </row>
    <row r="91" spans="1:7">
      <c r="A91" s="5">
        <v>45756</v>
      </c>
      <c r="B91" s="8" t="s">
        <v>7</v>
      </c>
      <c r="C91" s="8" t="s">
        <v>8</v>
      </c>
      <c r="D91" s="8" t="s">
        <v>20</v>
      </c>
      <c r="E91" s="8" t="s">
        <v>10</v>
      </c>
      <c r="F91" s="7">
        <v>-642.82</v>
      </c>
      <c r="G91" s="4" t="s">
        <v>150</v>
      </c>
    </row>
    <row r="92" spans="1:7">
      <c r="A92" s="5">
        <v>45724</v>
      </c>
      <c r="B92" s="6" t="s">
        <v>7</v>
      </c>
      <c r="C92" s="6" t="s">
        <v>8</v>
      </c>
      <c r="D92" s="6" t="s">
        <v>28</v>
      </c>
      <c r="E92" s="6" t="s">
        <v>10</v>
      </c>
      <c r="F92" s="7">
        <v>-1389.43</v>
      </c>
      <c r="G92" s="4" t="s">
        <v>151</v>
      </c>
    </row>
    <row r="93" spans="1:7">
      <c r="A93" s="5">
        <v>45852</v>
      </c>
      <c r="B93" s="8" t="s">
        <v>14</v>
      </c>
      <c r="C93" s="8" t="s">
        <v>152</v>
      </c>
      <c r="D93" s="8" t="s">
        <v>20</v>
      </c>
      <c r="E93" s="8" t="s">
        <v>153</v>
      </c>
      <c r="F93" s="7">
        <v>-1087.51</v>
      </c>
      <c r="G93" s="4" t="s">
        <v>154</v>
      </c>
    </row>
    <row r="94" spans="1:7">
      <c r="A94" s="5">
        <v>45774</v>
      </c>
      <c r="B94" s="6" t="s">
        <v>18</v>
      </c>
      <c r="C94" s="6" t="s">
        <v>19</v>
      </c>
      <c r="D94" s="6" t="s">
        <v>28</v>
      </c>
      <c r="E94" s="6" t="s">
        <v>21</v>
      </c>
      <c r="F94" s="7">
        <v>-782.01</v>
      </c>
      <c r="G94" s="4" t="s">
        <v>155</v>
      </c>
    </row>
    <row r="95" spans="1:7">
      <c r="A95" s="5">
        <v>45870</v>
      </c>
      <c r="B95" s="8" t="s">
        <v>23</v>
      </c>
      <c r="C95" s="8" t="s">
        <v>73</v>
      </c>
      <c r="D95" s="8" t="s">
        <v>20</v>
      </c>
      <c r="E95" s="8" t="s">
        <v>74</v>
      </c>
      <c r="F95" s="7">
        <v>-600.73</v>
      </c>
      <c r="G95" s="4" t="s">
        <v>156</v>
      </c>
    </row>
    <row r="96" spans="1:7">
      <c r="A96" s="5">
        <v>45924</v>
      </c>
      <c r="B96" s="6" t="s">
        <v>18</v>
      </c>
      <c r="C96" s="6" t="s">
        <v>38</v>
      </c>
      <c r="D96" s="6" t="s">
        <v>9</v>
      </c>
      <c r="E96" s="6" t="s">
        <v>39</v>
      </c>
      <c r="F96" s="7">
        <v>-979.02</v>
      </c>
      <c r="G96" s="4" t="s">
        <v>157</v>
      </c>
    </row>
    <row r="97" spans="1:7">
      <c r="A97" s="5">
        <v>45870</v>
      </c>
      <c r="B97" s="8" t="s">
        <v>48</v>
      </c>
      <c r="C97" s="8" t="s">
        <v>100</v>
      </c>
      <c r="D97" s="8" t="s">
        <v>28</v>
      </c>
      <c r="E97" s="8" t="s">
        <v>101</v>
      </c>
      <c r="F97" s="7">
        <v>-675.58</v>
      </c>
      <c r="G97" s="4" t="s">
        <v>158</v>
      </c>
    </row>
    <row r="98" spans="1:7">
      <c r="A98" s="5">
        <v>45743</v>
      </c>
      <c r="B98" s="6" t="s">
        <v>18</v>
      </c>
      <c r="C98" s="6" t="s">
        <v>61</v>
      </c>
      <c r="D98" s="6" t="s">
        <v>28</v>
      </c>
      <c r="E98" s="6" t="s">
        <v>62</v>
      </c>
      <c r="F98" s="7">
        <v>-1839.49</v>
      </c>
      <c r="G98" s="4" t="s">
        <v>159</v>
      </c>
    </row>
    <row r="99" spans="1:7">
      <c r="A99" s="5">
        <v>45949</v>
      </c>
      <c r="B99" s="8" t="s">
        <v>23</v>
      </c>
      <c r="C99" s="8" t="s">
        <v>73</v>
      </c>
      <c r="D99" s="8" t="s">
        <v>12</v>
      </c>
      <c r="E99" s="8" t="s">
        <v>74</v>
      </c>
      <c r="F99" s="7">
        <v>-172.48</v>
      </c>
      <c r="G99" s="4" t="s">
        <v>160</v>
      </c>
    </row>
    <row r="100" spans="1:7">
      <c r="A100" s="5">
        <v>45875</v>
      </c>
      <c r="B100" s="6" t="s">
        <v>18</v>
      </c>
      <c r="C100" s="6" t="s">
        <v>19</v>
      </c>
      <c r="D100" s="6" t="s">
        <v>12</v>
      </c>
      <c r="E100" s="6" t="s">
        <v>21</v>
      </c>
      <c r="F100" s="7">
        <v>-524.01</v>
      </c>
      <c r="G100" s="4" t="s">
        <v>161</v>
      </c>
    </row>
    <row r="101" spans="1:7">
      <c r="A101" s="5">
        <v>45880</v>
      </c>
      <c r="B101" s="8" t="s">
        <v>31</v>
      </c>
      <c r="C101" s="8" t="s">
        <v>41</v>
      </c>
      <c r="D101" s="8" t="s">
        <v>20</v>
      </c>
      <c r="E101" s="8" t="s">
        <v>42</v>
      </c>
      <c r="F101" s="7">
        <v>-1523.65</v>
      </c>
      <c r="G101" s="4" t="s">
        <v>162</v>
      </c>
    </row>
    <row r="102" spans="1:7">
      <c r="A102" s="5">
        <v>45847</v>
      </c>
      <c r="B102" s="6" t="s">
        <v>18</v>
      </c>
      <c r="C102" s="6" t="s">
        <v>38</v>
      </c>
      <c r="D102" s="6" t="s">
        <v>12</v>
      </c>
      <c r="E102" s="6" t="s">
        <v>39</v>
      </c>
      <c r="F102" s="7">
        <v>-943.26</v>
      </c>
      <c r="G102" s="4" t="s">
        <v>163</v>
      </c>
    </row>
    <row r="103" spans="1:7">
      <c r="A103" s="5">
        <v>45768</v>
      </c>
      <c r="B103" s="8" t="s">
        <v>23</v>
      </c>
      <c r="C103" s="8" t="s">
        <v>73</v>
      </c>
      <c r="D103" s="8" t="s">
        <v>12</v>
      </c>
      <c r="E103" s="8" t="s">
        <v>74</v>
      </c>
      <c r="F103" s="7">
        <v>-1563.56</v>
      </c>
      <c r="G103" s="4" t="s">
        <v>164</v>
      </c>
    </row>
    <row r="104" spans="1:7">
      <c r="A104" s="5">
        <v>45754</v>
      </c>
      <c r="B104" s="6" t="s">
        <v>23</v>
      </c>
      <c r="C104" s="6" t="s">
        <v>24</v>
      </c>
      <c r="D104" s="6" t="s">
        <v>12</v>
      </c>
      <c r="E104" s="6" t="s">
        <v>25</v>
      </c>
      <c r="F104" s="7">
        <v>-1244.56</v>
      </c>
      <c r="G104" s="4" t="s">
        <v>165</v>
      </c>
    </row>
    <row r="105" spans="1:7">
      <c r="A105" s="5">
        <v>45891</v>
      </c>
      <c r="B105" s="8" t="s">
        <v>14</v>
      </c>
      <c r="C105" s="8" t="s">
        <v>15</v>
      </c>
      <c r="D105" s="8" t="s">
        <v>12</v>
      </c>
      <c r="E105" s="8" t="s">
        <v>16</v>
      </c>
      <c r="F105" s="7">
        <v>-1130.12</v>
      </c>
      <c r="G105" s="4" t="s">
        <v>166</v>
      </c>
    </row>
    <row r="106" spans="1:7">
      <c r="A106" s="5">
        <v>46000</v>
      </c>
      <c r="B106" s="6" t="s">
        <v>14</v>
      </c>
      <c r="C106" s="6" t="s">
        <v>106</v>
      </c>
      <c r="D106" s="6" t="s">
        <v>20</v>
      </c>
      <c r="E106" s="6" t="s">
        <v>107</v>
      </c>
      <c r="F106" s="7">
        <v>-339.74</v>
      </c>
      <c r="G106" s="4" t="s">
        <v>167</v>
      </c>
    </row>
    <row r="107" spans="1:7">
      <c r="A107" s="5">
        <v>45781</v>
      </c>
      <c r="B107" s="8" t="s">
        <v>7</v>
      </c>
      <c r="C107" s="8" t="s">
        <v>8</v>
      </c>
      <c r="D107" s="8" t="s">
        <v>12</v>
      </c>
      <c r="E107" s="8" t="s">
        <v>10</v>
      </c>
      <c r="F107" s="7">
        <v>-1858.13</v>
      </c>
      <c r="G107" s="4" t="s">
        <v>168</v>
      </c>
    </row>
    <row r="108" spans="1:7">
      <c r="A108" s="5">
        <v>45998</v>
      </c>
      <c r="B108" s="6" t="s">
        <v>18</v>
      </c>
      <c r="C108" s="6" t="s">
        <v>38</v>
      </c>
      <c r="D108" s="6" t="s">
        <v>12</v>
      </c>
      <c r="E108" s="6" t="s">
        <v>39</v>
      </c>
      <c r="F108" s="7">
        <v>-1186.24</v>
      </c>
      <c r="G108" s="4" t="s">
        <v>169</v>
      </c>
    </row>
    <row r="109" spans="1:7">
      <c r="A109" s="5">
        <v>46016</v>
      </c>
      <c r="B109" s="8" t="s">
        <v>14</v>
      </c>
      <c r="C109" s="8" t="s">
        <v>152</v>
      </c>
      <c r="D109" s="8" t="s">
        <v>20</v>
      </c>
      <c r="E109" s="8" t="s">
        <v>153</v>
      </c>
      <c r="F109" s="7">
        <v>-1701.34</v>
      </c>
      <c r="G109" s="4" t="s">
        <v>170</v>
      </c>
    </row>
    <row r="110" spans="1:7">
      <c r="A110" s="5">
        <v>45826</v>
      </c>
      <c r="B110" s="6" t="s">
        <v>7</v>
      </c>
      <c r="C110" s="6" t="s">
        <v>8</v>
      </c>
      <c r="D110" s="6" t="s">
        <v>28</v>
      </c>
      <c r="E110" s="6" t="s">
        <v>10</v>
      </c>
      <c r="F110" s="7">
        <v>-1324.74</v>
      </c>
      <c r="G110" s="4" t="s">
        <v>171</v>
      </c>
    </row>
    <row r="111" spans="1:7">
      <c r="A111" s="5">
        <v>45685</v>
      </c>
      <c r="B111" s="8" t="s">
        <v>7</v>
      </c>
      <c r="C111" s="8" t="s">
        <v>8</v>
      </c>
      <c r="D111" s="8" t="s">
        <v>28</v>
      </c>
      <c r="E111" s="8" t="s">
        <v>10</v>
      </c>
      <c r="F111" s="7">
        <v>-1645.55</v>
      </c>
      <c r="G111" s="4" t="s">
        <v>172</v>
      </c>
    </row>
    <row r="112" spans="1:7">
      <c r="A112" s="5">
        <v>45829</v>
      </c>
      <c r="B112" s="6" t="s">
        <v>7</v>
      </c>
      <c r="C112" s="6" t="s">
        <v>8</v>
      </c>
      <c r="D112" s="6" t="s">
        <v>28</v>
      </c>
      <c r="E112" s="6" t="s">
        <v>10</v>
      </c>
      <c r="F112" s="7">
        <v>-1416.08</v>
      </c>
      <c r="G112" s="4" t="s">
        <v>173</v>
      </c>
    </row>
    <row r="113" spans="1:7">
      <c r="A113" s="5">
        <v>46008</v>
      </c>
      <c r="B113" s="8" t="s">
        <v>18</v>
      </c>
      <c r="C113" s="8" t="s">
        <v>19</v>
      </c>
      <c r="D113" s="8" t="s">
        <v>20</v>
      </c>
      <c r="E113" s="8" t="s">
        <v>21</v>
      </c>
      <c r="F113" s="7">
        <v>-1233.75</v>
      </c>
      <c r="G113" s="4" t="s">
        <v>174</v>
      </c>
    </row>
    <row r="114" spans="1:7">
      <c r="A114" s="5">
        <v>45865</v>
      </c>
      <c r="B114" s="6" t="s">
        <v>54</v>
      </c>
      <c r="C114" s="6" t="s">
        <v>55</v>
      </c>
      <c r="D114" s="6" t="s">
        <v>20</v>
      </c>
      <c r="E114" s="6" t="s">
        <v>56</v>
      </c>
      <c r="F114" s="3">
        <v>1628.07</v>
      </c>
      <c r="G114" s="4" t="s">
        <v>175</v>
      </c>
    </row>
    <row r="115" spans="1:7">
      <c r="A115" s="5">
        <v>45792</v>
      </c>
      <c r="B115" s="8" t="s">
        <v>14</v>
      </c>
      <c r="C115" s="8" t="s">
        <v>152</v>
      </c>
      <c r="D115" s="8" t="s">
        <v>9</v>
      </c>
      <c r="E115" s="8" t="s">
        <v>153</v>
      </c>
      <c r="F115" s="7">
        <v>-1502.2</v>
      </c>
      <c r="G115" s="4" t="s">
        <v>176</v>
      </c>
    </row>
    <row r="116" spans="1:7">
      <c r="A116" s="5">
        <v>45673</v>
      </c>
      <c r="B116" s="6" t="s">
        <v>18</v>
      </c>
      <c r="C116" s="6" t="s">
        <v>38</v>
      </c>
      <c r="D116" s="6" t="s">
        <v>20</v>
      </c>
      <c r="E116" s="6" t="s">
        <v>39</v>
      </c>
      <c r="F116" s="7">
        <v>-367.77</v>
      </c>
      <c r="G116" s="4" t="s">
        <v>177</v>
      </c>
    </row>
    <row r="117" spans="1:7">
      <c r="A117" s="5">
        <v>45788</v>
      </c>
      <c r="B117" s="8" t="s">
        <v>14</v>
      </c>
      <c r="C117" s="8" t="s">
        <v>27</v>
      </c>
      <c r="D117" s="8" t="s">
        <v>20</v>
      </c>
      <c r="E117" s="8" t="s">
        <v>29</v>
      </c>
      <c r="F117" s="7">
        <v>-1761.24</v>
      </c>
      <c r="G117" s="4" t="s">
        <v>178</v>
      </c>
    </row>
    <row r="118" spans="1:7">
      <c r="A118" s="5">
        <v>45674</v>
      </c>
      <c r="B118" s="6" t="s">
        <v>48</v>
      </c>
      <c r="C118" s="6" t="s">
        <v>49</v>
      </c>
      <c r="D118" s="6" t="s">
        <v>9</v>
      </c>
      <c r="E118" s="6" t="s">
        <v>50</v>
      </c>
      <c r="F118" s="7">
        <v>-175.8</v>
      </c>
      <c r="G118" s="4" t="s">
        <v>179</v>
      </c>
    </row>
    <row r="119" spans="1:7">
      <c r="A119" s="5">
        <v>45925</v>
      </c>
      <c r="B119" s="8" t="s">
        <v>18</v>
      </c>
      <c r="C119" s="8" t="s">
        <v>38</v>
      </c>
      <c r="D119" s="8" t="s">
        <v>9</v>
      </c>
      <c r="E119" s="8" t="s">
        <v>39</v>
      </c>
      <c r="F119" s="7">
        <v>-1382.77</v>
      </c>
      <c r="G119" s="4" t="s">
        <v>180</v>
      </c>
    </row>
    <row r="120" spans="1:7">
      <c r="A120" s="5">
        <v>45660</v>
      </c>
      <c r="B120" s="6" t="s">
        <v>54</v>
      </c>
      <c r="C120" s="6" t="s">
        <v>55</v>
      </c>
      <c r="D120" s="6" t="s">
        <v>20</v>
      </c>
      <c r="E120" s="6" t="s">
        <v>56</v>
      </c>
      <c r="F120" s="3">
        <v>1275.59</v>
      </c>
      <c r="G120" s="4" t="s">
        <v>181</v>
      </c>
    </row>
    <row r="121" spans="1:7">
      <c r="A121" s="5">
        <v>45980</v>
      </c>
      <c r="B121" s="8" t="s">
        <v>14</v>
      </c>
      <c r="C121" s="8" t="s">
        <v>27</v>
      </c>
      <c r="D121" s="8" t="s">
        <v>20</v>
      </c>
      <c r="E121" s="8" t="s">
        <v>29</v>
      </c>
      <c r="F121" s="7">
        <v>-949.15</v>
      </c>
      <c r="G121" s="4" t="s">
        <v>182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A1" sqref="A1"/>
    </sheetView>
  </sheetViews>
  <sheetFormatPr defaultColWidth="9" defaultRowHeight="14.4"/>
  <cols>
    <col min="1" max="1" width="40.712962962963" customWidth="1"/>
    <col min="2" max="2" width="25.712962962963" customWidth="1"/>
  </cols>
  <sheetData>
    <row r="1" spans="1:1">
      <c r="A1" s="1" t="s">
        <v>183</v>
      </c>
    </row>
    <row r="2" spans="1:2">
      <c r="A2" t="s">
        <v>6</v>
      </c>
      <c r="B2" s="4" t="s">
        <v>37</v>
      </c>
    </row>
    <row r="3" spans="1:2">
      <c r="A3" t="s">
        <v>4</v>
      </c>
      <c r="B3" t="str">
        <f>VLOOKUP(B2,CHOOSE({1,2},Transactions!$G$2:$G$200,Transactions!$E$2:$E$200),2,FALSE)</f>
        <v>Movie Night</v>
      </c>
    </row>
    <row r="5" spans="1:1">
      <c r="A5" s="1" t="s">
        <v>184</v>
      </c>
    </row>
    <row r="6" spans="1:13">
      <c r="A6" t="s">
        <v>185</v>
      </c>
      <c r="B6" s="4">
        <v>6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  <c r="I6" s="4">
        <v>8</v>
      </c>
      <c r="J6" s="4">
        <v>9</v>
      </c>
      <c r="K6" s="4">
        <v>10</v>
      </c>
      <c r="L6" s="4">
        <v>11</v>
      </c>
      <c r="M6" s="4">
        <v>12</v>
      </c>
    </row>
    <row r="7" spans="1:13">
      <c r="A7" t="s">
        <v>186</v>
      </c>
      <c r="B7">
        <f ca="1">HLOOKUP(B6,B6:M7,2,FALSE)</f>
        <v>0</v>
      </c>
      <c r="C7" s="4" t="s">
        <v>187</v>
      </c>
      <c r="D7" s="4" t="s">
        <v>188</v>
      </c>
      <c r="E7" s="4" t="s">
        <v>189</v>
      </c>
      <c r="F7" s="4" t="s">
        <v>190</v>
      </c>
      <c r="G7" s="4" t="s">
        <v>191</v>
      </c>
      <c r="H7" s="4" t="s">
        <v>192</v>
      </c>
      <c r="I7" s="4" t="s">
        <v>193</v>
      </c>
      <c r="J7" s="4" t="s">
        <v>194</v>
      </c>
      <c r="K7" s="4" t="s">
        <v>195</v>
      </c>
      <c r="L7" s="4" t="s">
        <v>196</v>
      </c>
      <c r="M7" s="4" t="s">
        <v>197</v>
      </c>
    </row>
    <row r="9" spans="1:1">
      <c r="A9" s="1" t="s">
        <v>198</v>
      </c>
    </row>
    <row r="10" spans="1:2">
      <c r="A10" t="s">
        <v>6</v>
      </c>
      <c r="B10" s="4" t="s">
        <v>37</v>
      </c>
    </row>
    <row r="11" spans="1:2">
      <c r="A11" t="s">
        <v>1</v>
      </c>
      <c r="B11" t="str" cm="1">
        <f t="array" ref="B11">_xlfn.XLOOKUP(B10,Transactions!$G$2:$G$200,Transactions!$B$2:$B$200,"Not found")</f>
        <v>Entertainment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10" sqref="A10"/>
    </sheetView>
  </sheetViews>
  <sheetFormatPr defaultColWidth="9" defaultRowHeight="14.4" outlineLevelCol="1"/>
  <cols>
    <col min="1" max="1" width="45.712962962963" customWidth="1"/>
    <col min="2" max="2" width="25.712962962963" customWidth="1"/>
  </cols>
  <sheetData>
    <row r="1" spans="1:1">
      <c r="A1" s="1" t="s">
        <v>199</v>
      </c>
    </row>
    <row r="3" spans="1:2">
      <c r="A3" t="s">
        <v>200</v>
      </c>
      <c r="B3">
        <f>SUMIF(Transactions!$B:$B,"Food",Transactions!$F:$F)</f>
        <v>-16462.35</v>
      </c>
    </row>
    <row r="5" spans="1:2">
      <c r="A5" t="s">
        <v>201</v>
      </c>
      <c r="B5">
        <f>COUNTIF(Transactions!$B:$B,"Transport")</f>
        <v>7</v>
      </c>
    </row>
    <row r="7" spans="1:2">
      <c r="A7" t="s">
        <v>202</v>
      </c>
      <c r="B7">
        <f>SUMIFS(Transactions!$F:$F,Transactions!$B:$B,"Food",Transactions!$D:$D,"Card")</f>
        <v>-5208.96</v>
      </c>
    </row>
    <row r="9" spans="1:2">
      <c r="A9" t="s">
        <v>203</v>
      </c>
      <c r="B9">
        <f>COUNTIFS(Transactions!$B:$B,"Entertainment",Transactions!$A:$A,"&gt;="&amp;DATE(2025,6,1),Transactions!$A:$A,"&lt;="&amp;DATE(2025,6,30))</f>
        <v>2</v>
      </c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D2" sqref="D2"/>
    </sheetView>
  </sheetViews>
  <sheetFormatPr defaultColWidth="9" defaultRowHeight="14.4"/>
  <cols>
    <col min="1" max="1" width="30.712962962963" customWidth="1"/>
    <col min="2" max="4" width="15.712962962963" customWidth="1"/>
    <col min="8" max="9" width="10.7777777777778"/>
    <col min="13" max="13" width="10.7777777777778"/>
  </cols>
  <sheetData>
    <row r="1" spans="1:1">
      <c r="A1" s="1" t="s">
        <v>204</v>
      </c>
    </row>
    <row r="3" spans="1:1">
      <c r="A3" s="1" t="s">
        <v>205</v>
      </c>
    </row>
    <row r="4" spans="1:13">
      <c r="A4" s="2" t="s">
        <v>206</v>
      </c>
      <c r="B4" s="2" t="s">
        <v>207</v>
      </c>
      <c r="C4" s="2" t="s">
        <v>187</v>
      </c>
      <c r="D4" s="2" t="s">
        <v>188</v>
      </c>
      <c r="E4" s="2" t="s">
        <v>189</v>
      </c>
      <c r="F4" s="2" t="s">
        <v>190</v>
      </c>
      <c r="G4" s="2" t="s">
        <v>191</v>
      </c>
      <c r="H4" s="2" t="s">
        <v>192</v>
      </c>
      <c r="I4" s="2" t="s">
        <v>193</v>
      </c>
      <c r="J4" s="2" t="s">
        <v>194</v>
      </c>
      <c r="K4" s="2" t="s">
        <v>195</v>
      </c>
      <c r="L4" s="2" t="s">
        <v>196</v>
      </c>
      <c r="M4" s="2" t="s">
        <v>197</v>
      </c>
    </row>
    <row r="5" spans="1:13">
      <c r="A5" s="3" t="s">
        <v>208</v>
      </c>
      <c r="B5" s="3">
        <v>10587.81</v>
      </c>
      <c r="C5" s="3">
        <v>11826.24</v>
      </c>
      <c r="D5" s="3">
        <v>9211.64</v>
      </c>
      <c r="E5" s="3">
        <v>7020.69</v>
      </c>
      <c r="F5" s="3">
        <v>9905.43</v>
      </c>
      <c r="G5" s="3">
        <v>5779.4</v>
      </c>
      <c r="H5" s="3">
        <v>12870.79</v>
      </c>
      <c r="I5" s="3">
        <v>11388.74</v>
      </c>
      <c r="J5" s="3">
        <v>6775.42</v>
      </c>
      <c r="K5" s="3">
        <v>1558.05</v>
      </c>
      <c r="L5" s="3">
        <v>9510.07</v>
      </c>
      <c r="M5" s="3">
        <v>10380.03</v>
      </c>
    </row>
    <row r="7" spans="1:1">
      <c r="A7" s="1" t="s">
        <v>209</v>
      </c>
    </row>
    <row r="8" spans="1:2">
      <c r="A8" s="2" t="s">
        <v>1</v>
      </c>
      <c r="B8" s="2" t="s">
        <v>210</v>
      </c>
    </row>
    <row r="10" spans="1:2">
      <c r="A10" t="s">
        <v>7</v>
      </c>
      <c r="B10" s="3">
        <v>19458.31</v>
      </c>
    </row>
    <row r="11" spans="1:2">
      <c r="A11" t="s">
        <v>14</v>
      </c>
      <c r="B11" s="3">
        <v>24118.67</v>
      </c>
    </row>
    <row r="12" spans="1:2">
      <c r="A12" t="s">
        <v>18</v>
      </c>
      <c r="B12" s="3">
        <v>17243.97</v>
      </c>
    </row>
    <row r="13" spans="1:2">
      <c r="A13" t="s">
        <v>23</v>
      </c>
      <c r="B13" s="3">
        <v>16462.35</v>
      </c>
    </row>
    <row r="14" spans="1:2">
      <c r="A14" t="s">
        <v>31</v>
      </c>
      <c r="B14" s="3">
        <v>12803.63</v>
      </c>
    </row>
    <row r="15" spans="1:2">
      <c r="A15" t="s">
        <v>44</v>
      </c>
      <c r="B15" s="3">
        <v>7535.21</v>
      </c>
    </row>
    <row r="16" spans="1:2">
      <c r="A16" t="s">
        <v>48</v>
      </c>
      <c r="B16" s="3">
        <v>9192.17</v>
      </c>
    </row>
    <row r="18" spans="1:1">
      <c r="A18" s="1" t="s">
        <v>211</v>
      </c>
    </row>
    <row r="19" spans="1:2">
      <c r="A19" s="2" t="s">
        <v>3</v>
      </c>
      <c r="B19" s="2" t="s">
        <v>210</v>
      </c>
    </row>
    <row r="20" spans="1:2">
      <c r="A20" t="s">
        <v>9</v>
      </c>
      <c r="B20" s="3">
        <v>24620.55</v>
      </c>
    </row>
    <row r="21" spans="1:2">
      <c r="A21" t="s">
        <v>12</v>
      </c>
      <c r="B21" s="3">
        <v>31906.28</v>
      </c>
    </row>
    <row r="22" spans="1:2">
      <c r="A22" t="s">
        <v>20</v>
      </c>
      <c r="B22" s="3">
        <v>30472.05</v>
      </c>
    </row>
    <row r="23" spans="1:2">
      <c r="A23" t="s">
        <v>28</v>
      </c>
      <c r="B23" s="3">
        <v>19815.43</v>
      </c>
    </row>
  </sheetData>
  <pageMargins left="0.7" right="0.7" top="0.75" bottom="0.75" header="0.3" footer="0.3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Transactions</vt:lpstr>
      <vt:lpstr>Lookup_Demo</vt:lpstr>
      <vt:lpstr>Summary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2025-08-21T16:12:00Z</dcterms:created>
  <dcterms:modified xsi:type="dcterms:W3CDTF">2025-08-23T09:15:24Z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A3C679E0A6F249A9ADC09018DE0AE259_13</vt:lpwstr>
  </property>
  <property fmtid="{D5CDD505-2E9C-101B-9397-08002B2CF9AE}" pid="3" name="KSOProductBuildVer">
    <vt:lpwstr>1033-12.2.0.22222</vt:lpwstr>
  </property>
</Properties>
</file>